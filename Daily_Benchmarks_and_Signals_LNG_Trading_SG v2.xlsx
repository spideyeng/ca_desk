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hevron-my.sharepoint.com/personal/derek_eng_chevron_com/Documents/My Documents/2026 Jobs/CA/"/>
    </mc:Choice>
  </mc:AlternateContent>
  <xr:revisionPtr revIDLastSave="0" documentId="8_{A421F7D9-F426-4A9F-B8B2-9BFC8991C76F}" xr6:coauthVersionLast="47" xr6:coauthVersionMax="47" xr10:uidLastSave="{00000000-0000-0000-0000-000000000000}"/>
  <bookViews>
    <workbookView xWindow="-110" yWindow="-110" windowWidth="19420" windowHeight="11020" activeTab="7" xr2:uid="{00000000-000D-0000-FFFF-FFFF00000000}"/>
  </bookViews>
  <sheets>
    <sheet name="0_Today_Snapshot" sheetId="1" r:id="rId1"/>
    <sheet name="1_Crude" sheetId="2" r:id="rId2"/>
    <sheet name="2_Products_APAC" sheetId="3" r:id="rId3"/>
    <sheet name="3_LNG_Benchmarks" sheetId="4" r:id="rId4"/>
    <sheet name="4_Freight_Ops" sheetId="5" r:id="rId5"/>
    <sheet name="5_Risk_System" sheetId="6" r:id="rId6"/>
    <sheet name="6_Events_Flow" sheetId="7" r:id="rId7"/>
    <sheet name="7_Quick_Links" sheetId="8" r:id="rId8"/>
    <sheet name="8_Note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2" l="1"/>
  <c r="D5" i="2"/>
  <c r="D4" i="2"/>
  <c r="D3" i="2"/>
  <c r="D2" i="2"/>
</calcChain>
</file>

<file path=xl/sharedStrings.xml><?xml version="1.0" encoding="utf-8"?>
<sst xmlns="http://schemas.openxmlformats.org/spreadsheetml/2006/main" count="115" uniqueCount="102">
  <si>
    <t>Daily Benchmarks &amp; Signals — LNG Trading (Singapore)</t>
  </si>
  <si>
    <t>Purpose</t>
  </si>
  <si>
    <t>A one-page, repeatable template to capture daily market levels, key spreads, and system checks used in P&amp;L, exposure, and trading decisions.</t>
  </si>
  <si>
    <t>How to use</t>
  </si>
  <si>
    <t>Each morning: (1) fill tables with latest prints &amp; curves; (2) capture notable moves in notes; (3) tick EOD hygiene before Asia close.</t>
  </si>
  <si>
    <t>Date (SGT)</t>
  </si>
  <si>
    <t>Headline move (≤120 chars)</t>
  </si>
  <si>
    <t>Top 3 risks/opps</t>
  </si>
  <si>
    <t>•</t>
  </si>
  <si>
    <t>Marker</t>
  </si>
  <si>
    <t>M1</t>
  </si>
  <si>
    <t>M2</t>
  </si>
  <si>
    <t>M1–M2</t>
  </si>
  <si>
    <t>Q1 strip</t>
  </si>
  <si>
    <t>Note</t>
  </si>
  <si>
    <t>ICE Brent</t>
  </si>
  <si>
    <t>structure / macro / outages</t>
  </si>
  <si>
    <t>WTI (NYMEX)</t>
  </si>
  <si>
    <t>arb to Brent / Cushing stocks</t>
  </si>
  <si>
    <t>Dubai (Platts)</t>
  </si>
  <si>
    <t>ME flows / OSP read-through</t>
  </si>
  <si>
    <t>Oman (DME/Platts)</t>
  </si>
  <si>
    <t>Dubai/Oman spread</t>
  </si>
  <si>
    <t>Murban (IFAD)</t>
  </si>
  <si>
    <t>Murban vs Dubai/Oman</t>
  </si>
  <si>
    <t>Key basis / arbs</t>
  </si>
  <si>
    <t>Brent–Dubai EFS</t>
  </si>
  <si>
    <t>___</t>
  </si>
  <si>
    <t>WTI–Brent</t>
  </si>
  <si>
    <t>ANS/LLS diffs (if relevant)</t>
  </si>
  <si>
    <t>Product (Platts)</t>
  </si>
  <si>
    <t>Flat ($/bbl or $/t)</t>
  </si>
  <si>
    <t>Crack vs Brent/Dubai</t>
  </si>
  <si>
    <t>Regional diff (e.g., vs ARA)</t>
  </si>
  <si>
    <t>Gasoil 10 ppm (MOPS)</t>
  </si>
  <si>
    <t>jet regrade / diesel tightness</t>
  </si>
  <si>
    <t>Jet/Kero (MOPS)</t>
  </si>
  <si>
    <t>jet regrade vs gasoil</t>
  </si>
  <si>
    <t>Mogas 92 (MOPS)</t>
  </si>
  <si>
    <t>gasoline demand / blendstock</t>
  </si>
  <si>
    <t>Mogas 95 (MOPS)</t>
  </si>
  <si>
    <t>VLSFO 0.5% (SG)</t>
  </si>
  <si>
    <t>bunker demand / HSFO switch</t>
  </si>
  <si>
    <t>HSFO 3.5% (SG)</t>
  </si>
  <si>
    <t>utility burn / spreads</t>
  </si>
  <si>
    <t>Naphtha CFR Japan (MOPJ)</t>
  </si>
  <si>
    <t>Naphtha crack; East–West</t>
  </si>
  <si>
    <t>LNG Marker</t>
  </si>
  <si>
    <t>Front</t>
  </si>
  <si>
    <t>M3</t>
  </si>
  <si>
    <t>Curve note</t>
  </si>
  <si>
    <t>JKM (Platts)</t>
  </si>
  <si>
    <t>Asia weather / cargo tenders</t>
  </si>
  <si>
    <t>TTF (ICE Endex)</t>
  </si>
  <si>
    <t>storage / pipe flows / wind</t>
  </si>
  <si>
    <t>Henry Hub (NYMEX)</t>
  </si>
  <si>
    <t>US production &amp; LNG feedgas</t>
  </si>
  <si>
    <t>Arb spreads</t>
  </si>
  <si>
    <t>JKM – TTF</t>
  </si>
  <si>
    <t>JKM – HH</t>
  </si>
  <si>
    <t>TTF – HH</t>
  </si>
  <si>
    <t>Oil-linked read-through</t>
  </si>
  <si>
    <t>Brent slope (%)</t>
  </si>
  <si>
    <t>JCC proxy</t>
  </si>
  <si>
    <t>Implied term parity vs spot</t>
  </si>
  <si>
    <t>note</t>
  </si>
  <si>
    <t>Item</t>
  </si>
  <si>
    <t>Level</t>
  </si>
  <si>
    <t>LNG freight (TFDE/MEGI)</t>
  </si>
  <si>
    <t>route, congestion, ballast</t>
  </si>
  <si>
    <t>Singapore LNG bunker (Platts)</t>
  </si>
  <si>
    <t>STEMs / relative to JKM</t>
  </si>
  <si>
    <t>Canal/port constraints</t>
  </si>
  <si>
    <t>Panama / Suez status</t>
  </si>
  <si>
    <t>Checklist item</t>
  </si>
  <si>
    <t>Status</t>
  </si>
  <si>
    <t>Owner</t>
  </si>
  <si>
    <t>Time (SGT)</t>
  </si>
  <si>
    <t>Exceptions (link or note)</t>
  </si>
  <si>
    <t>Critical curves present (JKM, TTF, HH, ICE Brent, Dubai/Oman, MOPS) in ZEMA</t>
  </si>
  <si>
    <t>No missing resets / stale assessments (ZEMA watchlist &amp; PVT)</t>
  </si>
  <si>
    <t>Prices landed in Endur / RightAngle (spot + forward) &amp; GARM MTM refreshed</t>
  </si>
  <si>
    <t>P&amp;L/Exposure tie-out complete (Front Office ↔ Risk); breaks explained</t>
  </si>
  <si>
    <t>MDAS VaR updated with latest benchmark curves</t>
  </si>
  <si>
    <t>Exchange reconciliation (ICE/CME) — variances noted</t>
  </si>
  <si>
    <t>Type</t>
  </si>
  <si>
    <t>Details (buyer/seller, laycan, impact)</t>
  </si>
  <si>
    <t>Tenders / cargoes</t>
  </si>
  <si>
    <t>Maintenance / outages</t>
  </si>
  <si>
    <t>Macro / policy</t>
  </si>
  <si>
    <t>Name</t>
  </si>
  <si>
    <t>URL</t>
  </si>
  <si>
    <t>Market data access/entitlements</t>
  </si>
  <si>
    <t>ZEMA watchlist / PVT dashboards</t>
  </si>
  <si>
    <t>Endur &amp; GARM daily views</t>
  </si>
  <si>
    <t>LNG desk chat / morning notes channel</t>
  </si>
  <si>
    <t>https://teams.microsoft.com/l/channel/19%3a50ce1c4e19d64554b639ff853f4629e1%40thread.tacv2/General?groupId=452ce2a3-348c-4461-a9cf-f933e659f70a&amp;tenantId=fd799da1-bfc1-4234-a91c-72b3a1cb9e26</t>
  </si>
  <si>
    <t>Notes</t>
  </si>
  <si>
    <t>Free-form space for screenshots, broker color, or anything that doesn’t fit neatly above.</t>
  </si>
  <si>
    <t xml:space="preserve">https://chevron.sharepoint.com/sites/CSTTradingCOE/Shared%20Documents/Forms/AllItems.aspx?id=%2Fsites%2FCSTTradingCOE%2FShared%20Documents%2F01%20Change%20Management%2Fz_Archive_2021_Accenture%2FMSP%20Transition%20Change%20Management%2FAsk%20Me%20Anything%20Sessions%2FMarket%20Data%20-%20Access%20and%20Support.pdf&amp;parent=%2Fsites%2FCSTTradingCOE%2FShared%20Documents%2F01%20Change%20Management%2Fz_Archive_2021_Accenture%2FMSP%20Transition%20Change%20Management%2FAsk%20Me%20Anything%20Sessions </t>
  </si>
  <si>
    <t xml:space="preserve">https://app.powerbi.com/groups/me/reports/17e4ca1f-ff7f-45c0-bd5e-5315e8855e55/c57e641fc105eae755e0?experience=power-bi&amp;clientSideAuth=0 </t>
  </si>
  <si>
    <t xml:space="preserve">https://go.chevron.com/GlobalMarketRiskReports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</si>
</sst>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1F4E79"/>
      <name val="Calibri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3" fillId="0" borderId="0" xfId="0" applyFont="1"/>
    <xf numFmtId="0" fontId="2" fillId="0" borderId="0" xfId="0" applyFont="1"/>
    <xf numFmtId="0" fontId="4" fillId="0" borderId="1" xfId="1" applyBorder="1" applyAlignment="1">
      <alignment horizontal="left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powerbi.com/groups/me/reports/17e4ca1f-ff7f-45c0-bd5e-5315e8855e55/c57e641fc105eae755e0?experience=power-bi&amp;clientSideAuth=0" TargetMode="External"/><Relationship Id="rId2" Type="http://schemas.openxmlformats.org/officeDocument/2006/relationships/hyperlink" Target="https://chevron.sharepoint.com/sites/CSTTradingCOE/Shared%20Documents/Forms/AllItems.aspx?id=%2Fsites%2FCSTTradingCOE%2FShared%20Documents%2F01%20Change%20Management%2Fz_Archive_2021_Accenture%2FMSP%20Transition%20Change%20Management%2FAsk%20Me%20Anything%20Sessions%2FMarket%20Data%20-%20Access%20and%20Support.pdf&amp;parent=%2Fsites%2FCSTTradingCOE%2FShared%20Documents%2F01%20Change%20Management%2Fz_Archive_2021_Accenture%2FMSP%20Transition%20Change%20Management%2FAsk%20Me%20Anything%20Sessions" TargetMode="External"/><Relationship Id="rId1" Type="http://schemas.openxmlformats.org/officeDocument/2006/relationships/hyperlink" Target="https://teams.microsoft.com/l/channel/19%3a50ce1c4e19d64554b639ff853f4629e1%40thread.tacv2/General?groupId=452ce2a3-348c-4461-a9cf-f933e659f70a&amp;tenantId=fd799da1-bfc1-4234-a91c-72b3a1cb9e26" TargetMode="External"/><Relationship Id="rId4" Type="http://schemas.openxmlformats.org/officeDocument/2006/relationships/hyperlink" Target="https://go.chevron.com/GlobalMarketRiskRepor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/>
  </sheetViews>
  <sheetFormatPr defaultRowHeight="14.5" x14ac:dyDescent="0.35"/>
  <cols>
    <col min="1" max="1" width="28" customWidth="1"/>
    <col min="2" max="2" width="90" customWidth="1"/>
  </cols>
  <sheetData>
    <row r="1" spans="1:2" ht="18.5" x14ac:dyDescent="0.45">
      <c r="A1" s="1" t="s">
        <v>0</v>
      </c>
    </row>
    <row r="3" spans="1:2" ht="29" x14ac:dyDescent="0.35">
      <c r="A3" s="2" t="s">
        <v>1</v>
      </c>
      <c r="B3" s="2" t="s">
        <v>2</v>
      </c>
    </row>
    <row r="4" spans="1:2" ht="29" x14ac:dyDescent="0.35">
      <c r="A4" s="2" t="s">
        <v>3</v>
      </c>
      <c r="B4" s="2" t="s">
        <v>4</v>
      </c>
    </row>
    <row r="5" spans="1:2" x14ac:dyDescent="0.35">
      <c r="A5" s="2"/>
      <c r="B5" s="2"/>
    </row>
    <row r="6" spans="1:2" x14ac:dyDescent="0.35">
      <c r="A6" s="2" t="s">
        <v>5</v>
      </c>
      <c r="B6" s="3">
        <v>46055</v>
      </c>
    </row>
    <row r="7" spans="1:2" x14ac:dyDescent="0.35">
      <c r="A7" s="2" t="s">
        <v>6</v>
      </c>
      <c r="B7" s="2"/>
    </row>
    <row r="8" spans="1:2" x14ac:dyDescent="0.35">
      <c r="A8" s="2"/>
      <c r="B8" s="2"/>
    </row>
    <row r="9" spans="1:2" x14ac:dyDescent="0.35">
      <c r="A9" s="2" t="s">
        <v>7</v>
      </c>
      <c r="B9" s="2"/>
    </row>
    <row r="10" spans="1:2" x14ac:dyDescent="0.35">
      <c r="A10" s="2" t="s">
        <v>8</v>
      </c>
      <c r="B10" s="2"/>
    </row>
    <row r="11" spans="1:2" x14ac:dyDescent="0.35">
      <c r="A11" s="2" t="s">
        <v>8</v>
      </c>
      <c r="B11" s="2"/>
    </row>
    <row r="12" spans="1:2" x14ac:dyDescent="0.35">
      <c r="A12" s="2" t="s">
        <v>8</v>
      </c>
      <c r="B12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6" customWidth="1"/>
    <col min="2" max="2" width="20" customWidth="1"/>
    <col min="3" max="5" width="12" customWidth="1"/>
    <col min="6" max="6" width="36" customWidth="1"/>
  </cols>
  <sheetData>
    <row r="1" spans="1:6" x14ac:dyDescent="0.35">
      <c r="A1" s="4" t="s">
        <v>9</v>
      </c>
      <c r="B1" s="4" t="s">
        <v>10</v>
      </c>
      <c r="C1" s="4" t="s">
        <v>11</v>
      </c>
      <c r="D1" s="4" t="s">
        <v>12</v>
      </c>
      <c r="E1" s="4" t="s">
        <v>13</v>
      </c>
      <c r="F1" s="4" t="s">
        <v>14</v>
      </c>
    </row>
    <row r="2" spans="1:6" x14ac:dyDescent="0.35">
      <c r="A2" s="5" t="s">
        <v>15</v>
      </c>
      <c r="B2" s="6"/>
      <c r="C2" s="6"/>
      <c r="D2" s="6">
        <f>B2-C2</f>
        <v>0</v>
      </c>
      <c r="E2" s="6"/>
      <c r="F2" s="5" t="s">
        <v>16</v>
      </c>
    </row>
    <row r="3" spans="1:6" x14ac:dyDescent="0.35">
      <c r="A3" s="5" t="s">
        <v>17</v>
      </c>
      <c r="B3" s="6"/>
      <c r="C3" s="6"/>
      <c r="D3" s="6">
        <f>B3-C3</f>
        <v>0</v>
      </c>
      <c r="E3" s="6"/>
      <c r="F3" s="5" t="s">
        <v>18</v>
      </c>
    </row>
    <row r="4" spans="1:6" x14ac:dyDescent="0.35">
      <c r="A4" s="5" t="s">
        <v>19</v>
      </c>
      <c r="B4" s="6"/>
      <c r="C4" s="6"/>
      <c r="D4" s="6">
        <f>B4-C4</f>
        <v>0</v>
      </c>
      <c r="E4" s="6"/>
      <c r="F4" s="5" t="s">
        <v>20</v>
      </c>
    </row>
    <row r="5" spans="1:6" x14ac:dyDescent="0.35">
      <c r="A5" s="5" t="s">
        <v>21</v>
      </c>
      <c r="B5" s="6"/>
      <c r="C5" s="6"/>
      <c r="D5" s="6">
        <f>B5-C5</f>
        <v>0</v>
      </c>
      <c r="E5" s="6"/>
      <c r="F5" s="5" t="s">
        <v>22</v>
      </c>
    </row>
    <row r="6" spans="1:6" x14ac:dyDescent="0.35">
      <c r="A6" s="5" t="s">
        <v>23</v>
      </c>
      <c r="B6" s="6"/>
      <c r="C6" s="6"/>
      <c r="D6" s="6">
        <f>B6-C6</f>
        <v>0</v>
      </c>
      <c r="E6" s="6"/>
      <c r="F6" s="5" t="s">
        <v>24</v>
      </c>
    </row>
    <row r="9" spans="1:6" x14ac:dyDescent="0.35">
      <c r="A9" s="7" t="s">
        <v>25</v>
      </c>
    </row>
    <row r="10" spans="1:6" x14ac:dyDescent="0.35">
      <c r="A10" s="5" t="s">
        <v>26</v>
      </c>
      <c r="B10" s="5" t="s">
        <v>27</v>
      </c>
    </row>
    <row r="11" spans="1:6" x14ac:dyDescent="0.35">
      <c r="A11" s="5" t="s">
        <v>28</v>
      </c>
      <c r="B11" s="5" t="s">
        <v>27</v>
      </c>
    </row>
    <row r="12" spans="1:6" x14ac:dyDescent="0.35">
      <c r="A12" s="5" t="s">
        <v>29</v>
      </c>
      <c r="B12" s="5" t="s">
        <v>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16" customWidth="1"/>
    <col min="3" max="3" width="20" customWidth="1"/>
    <col min="4" max="4" width="26" customWidth="1"/>
    <col min="5" max="5" width="30" customWidth="1"/>
  </cols>
  <sheetData>
    <row r="1" spans="1:5" x14ac:dyDescent="0.35">
      <c r="A1" s="4" t="s">
        <v>30</v>
      </c>
      <c r="B1" s="4" t="s">
        <v>31</v>
      </c>
      <c r="C1" s="4" t="s">
        <v>32</v>
      </c>
      <c r="D1" s="4" t="s">
        <v>33</v>
      </c>
      <c r="E1" s="4" t="s">
        <v>14</v>
      </c>
    </row>
    <row r="2" spans="1:5" x14ac:dyDescent="0.35">
      <c r="A2" s="5" t="s">
        <v>34</v>
      </c>
      <c r="B2" s="6"/>
      <c r="C2" s="6"/>
      <c r="D2" s="6"/>
      <c r="E2" s="5" t="s">
        <v>35</v>
      </c>
    </row>
    <row r="3" spans="1:5" x14ac:dyDescent="0.35">
      <c r="A3" s="5" t="s">
        <v>36</v>
      </c>
      <c r="B3" s="6"/>
      <c r="C3" s="6"/>
      <c r="D3" s="6"/>
      <c r="E3" s="5" t="s">
        <v>37</v>
      </c>
    </row>
    <row r="4" spans="1:5" x14ac:dyDescent="0.35">
      <c r="A4" s="5" t="s">
        <v>38</v>
      </c>
      <c r="B4" s="6"/>
      <c r="C4" s="6"/>
      <c r="D4" s="6"/>
      <c r="E4" s="5" t="s">
        <v>39</v>
      </c>
    </row>
    <row r="5" spans="1:5" x14ac:dyDescent="0.35">
      <c r="A5" s="5" t="s">
        <v>40</v>
      </c>
      <c r="B5" s="6"/>
      <c r="C5" s="6"/>
      <c r="D5" s="6"/>
      <c r="E5" s="5" t="s">
        <v>39</v>
      </c>
    </row>
    <row r="6" spans="1:5" x14ac:dyDescent="0.35">
      <c r="A6" s="5" t="s">
        <v>41</v>
      </c>
      <c r="B6" s="6"/>
      <c r="C6" s="6"/>
      <c r="D6" s="6"/>
      <c r="E6" s="5" t="s">
        <v>42</v>
      </c>
    </row>
    <row r="7" spans="1:5" x14ac:dyDescent="0.35">
      <c r="A7" s="5" t="s">
        <v>43</v>
      </c>
      <c r="B7" s="6"/>
      <c r="C7" s="6"/>
      <c r="D7" s="6"/>
      <c r="E7" s="5" t="s">
        <v>44</v>
      </c>
    </row>
    <row r="8" spans="1:5" x14ac:dyDescent="0.35">
      <c r="A8" s="5" t="s">
        <v>45</v>
      </c>
      <c r="B8" s="6"/>
      <c r="C8" s="6"/>
      <c r="D8" s="6"/>
      <c r="E8" s="5" t="s">
        <v>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16" customWidth="1"/>
    <col min="3" max="4" width="12" customWidth="1"/>
    <col min="5" max="5" width="36" customWidth="1"/>
  </cols>
  <sheetData>
    <row r="1" spans="1:5" x14ac:dyDescent="0.35">
      <c r="A1" s="4" t="s">
        <v>47</v>
      </c>
      <c r="B1" s="4" t="s">
        <v>48</v>
      </c>
      <c r="C1" s="4" t="s">
        <v>11</v>
      </c>
      <c r="D1" s="4" t="s">
        <v>49</v>
      </c>
      <c r="E1" s="4" t="s">
        <v>50</v>
      </c>
    </row>
    <row r="2" spans="1:5" x14ac:dyDescent="0.35">
      <c r="A2" s="5" t="s">
        <v>51</v>
      </c>
      <c r="B2" s="6"/>
      <c r="C2" s="6"/>
      <c r="D2" s="6"/>
      <c r="E2" s="5" t="s">
        <v>52</v>
      </c>
    </row>
    <row r="3" spans="1:5" x14ac:dyDescent="0.35">
      <c r="A3" s="5" t="s">
        <v>53</v>
      </c>
      <c r="B3" s="6"/>
      <c r="C3" s="6"/>
      <c r="D3" s="6"/>
      <c r="E3" s="5" t="s">
        <v>54</v>
      </c>
    </row>
    <row r="4" spans="1:5" x14ac:dyDescent="0.35">
      <c r="A4" s="5" t="s">
        <v>55</v>
      </c>
      <c r="B4" s="6"/>
      <c r="C4" s="6"/>
      <c r="D4" s="6"/>
      <c r="E4" s="5" t="s">
        <v>56</v>
      </c>
    </row>
    <row r="7" spans="1:5" x14ac:dyDescent="0.35">
      <c r="A7" s="7" t="s">
        <v>57</v>
      </c>
    </row>
    <row r="8" spans="1:5" x14ac:dyDescent="0.35">
      <c r="A8" s="5" t="s">
        <v>58</v>
      </c>
      <c r="B8" s="5" t="s">
        <v>27</v>
      </c>
    </row>
    <row r="9" spans="1:5" x14ac:dyDescent="0.35">
      <c r="A9" s="5" t="s">
        <v>59</v>
      </c>
      <c r="B9" s="5" t="s">
        <v>27</v>
      </c>
    </row>
    <row r="10" spans="1:5" x14ac:dyDescent="0.35">
      <c r="A10" s="5" t="s">
        <v>60</v>
      </c>
      <c r="B10" s="5" t="s">
        <v>27</v>
      </c>
    </row>
    <row r="12" spans="1:5" x14ac:dyDescent="0.35">
      <c r="A12" s="7" t="s">
        <v>61</v>
      </c>
    </row>
    <row r="13" spans="1:5" x14ac:dyDescent="0.35">
      <c r="A13" s="5" t="s">
        <v>62</v>
      </c>
      <c r="B13" s="5" t="s">
        <v>27</v>
      </c>
    </row>
    <row r="14" spans="1:5" x14ac:dyDescent="0.35">
      <c r="A14" s="5" t="s">
        <v>63</v>
      </c>
      <c r="B14" s="5" t="s">
        <v>27</v>
      </c>
    </row>
    <row r="15" spans="1:5" ht="29" x14ac:dyDescent="0.35">
      <c r="A15" s="5" t="s">
        <v>64</v>
      </c>
      <c r="B15" s="5" t="s">
        <v>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20" customWidth="1"/>
    <col min="3" max="3" width="36" customWidth="1"/>
  </cols>
  <sheetData>
    <row r="1" spans="1:3" x14ac:dyDescent="0.35">
      <c r="A1" s="4" t="s">
        <v>66</v>
      </c>
      <c r="B1" s="4" t="s">
        <v>67</v>
      </c>
      <c r="C1" s="4" t="s">
        <v>14</v>
      </c>
    </row>
    <row r="2" spans="1:3" x14ac:dyDescent="0.35">
      <c r="A2" s="5" t="s">
        <v>68</v>
      </c>
      <c r="B2" s="5"/>
      <c r="C2" s="5" t="s">
        <v>69</v>
      </c>
    </row>
    <row r="3" spans="1:3" x14ac:dyDescent="0.35">
      <c r="A3" s="5" t="s">
        <v>70</v>
      </c>
      <c r="B3" s="5"/>
      <c r="C3" s="5" t="s">
        <v>71</v>
      </c>
    </row>
    <row r="4" spans="1:3" x14ac:dyDescent="0.35">
      <c r="A4" s="5" t="s">
        <v>72</v>
      </c>
      <c r="B4" s="5"/>
      <c r="C4" s="5" t="s">
        <v>73</v>
      </c>
    </row>
  </sheetData>
  <dataValidations count="1">
    <dataValidation type="list" allowBlank="1" sqref="B4" xr:uid="{00000000-0002-0000-0400-000000000000}">
      <formula1>"Open,Tight"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7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0" customWidth="1"/>
    <col min="2" max="2" width="10" customWidth="1"/>
    <col min="3" max="3" width="18" customWidth="1"/>
    <col min="4" max="4" width="14" customWidth="1"/>
    <col min="5" max="5" width="40" customWidth="1"/>
  </cols>
  <sheetData>
    <row r="1" spans="1:5" x14ac:dyDescent="0.35">
      <c r="A1" s="4" t="s">
        <v>74</v>
      </c>
      <c r="B1" s="4" t="s">
        <v>75</v>
      </c>
      <c r="C1" s="4" t="s">
        <v>76</v>
      </c>
      <c r="D1" s="4" t="s">
        <v>77</v>
      </c>
      <c r="E1" s="4" t="s">
        <v>78</v>
      </c>
    </row>
    <row r="2" spans="1:5" ht="29" x14ac:dyDescent="0.35">
      <c r="A2" s="5" t="s">
        <v>79</v>
      </c>
      <c r="B2" s="6"/>
      <c r="C2" s="5"/>
      <c r="D2" s="5"/>
      <c r="E2" s="5"/>
    </row>
    <row r="3" spans="1:5" x14ac:dyDescent="0.35">
      <c r="A3" s="5" t="s">
        <v>80</v>
      </c>
      <c r="B3" s="6"/>
      <c r="C3" s="5"/>
      <c r="D3" s="5"/>
      <c r="E3" s="5"/>
    </row>
    <row r="4" spans="1:5" ht="29" x14ac:dyDescent="0.35">
      <c r="A4" s="5" t="s">
        <v>81</v>
      </c>
      <c r="B4" s="6"/>
      <c r="C4" s="5"/>
      <c r="D4" s="5"/>
      <c r="E4" s="5"/>
    </row>
    <row r="5" spans="1:5" ht="29" x14ac:dyDescent="0.35">
      <c r="A5" s="5" t="s">
        <v>82</v>
      </c>
      <c r="B5" s="6"/>
      <c r="C5" s="5"/>
      <c r="D5" s="5"/>
      <c r="E5" s="5"/>
    </row>
    <row r="6" spans="1:5" x14ac:dyDescent="0.35">
      <c r="A6" s="5" t="s">
        <v>83</v>
      </c>
      <c r="B6" s="6"/>
      <c r="C6" s="5"/>
      <c r="D6" s="5"/>
      <c r="E6" s="5"/>
    </row>
    <row r="7" spans="1:5" x14ac:dyDescent="0.35">
      <c r="A7" s="5" t="s">
        <v>84</v>
      </c>
      <c r="B7" s="6"/>
      <c r="C7" s="5"/>
      <c r="D7" s="5"/>
      <c r="E7" s="5"/>
    </row>
  </sheetData>
  <dataValidations count="1">
    <dataValidation type="list" allowBlank="1" sqref="B2 B3 B4 B5 B6 B7" xr:uid="{00000000-0002-0000-0500-000000000000}">
      <formula1>"Done,Open,N/A"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2" customWidth="1"/>
    <col min="2" max="2" width="80" customWidth="1"/>
  </cols>
  <sheetData>
    <row r="1" spans="1:2" x14ac:dyDescent="0.35">
      <c r="A1" s="4" t="s">
        <v>85</v>
      </c>
      <c r="B1" s="4" t="s">
        <v>86</v>
      </c>
    </row>
    <row r="2" spans="1:2" x14ac:dyDescent="0.35">
      <c r="A2" s="5" t="s">
        <v>87</v>
      </c>
      <c r="B2" s="5"/>
    </row>
    <row r="3" spans="1:2" x14ac:dyDescent="0.35">
      <c r="A3" s="5" t="s">
        <v>88</v>
      </c>
      <c r="B3" s="5"/>
    </row>
    <row r="4" spans="1:2" x14ac:dyDescent="0.35">
      <c r="A4" s="5" t="s">
        <v>89</v>
      </c>
      <c r="B4" s="5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5"/>
  <sheetViews>
    <sheetView tabSelected="1" workbookViewId="0">
      <pane ySplit="1" topLeftCell="A2" activePane="bottomLeft" state="frozen"/>
      <selection pane="bottomLeft" activeCell="D4" sqref="D4"/>
    </sheetView>
  </sheetViews>
  <sheetFormatPr defaultRowHeight="14.5" x14ac:dyDescent="0.35"/>
  <cols>
    <col min="1" max="1" width="36" customWidth="1"/>
    <col min="2" max="2" width="80" customWidth="1"/>
  </cols>
  <sheetData>
    <row r="1" spans="1:2" x14ac:dyDescent="0.35">
      <c r="A1" s="4" t="s">
        <v>90</v>
      </c>
      <c r="B1" s="4" t="s">
        <v>91</v>
      </c>
    </row>
    <row r="2" spans="1:2" ht="101.5" x14ac:dyDescent="0.35">
      <c r="A2" s="5" t="s">
        <v>92</v>
      </c>
      <c r="B2" s="9" t="s">
        <v>99</v>
      </c>
    </row>
    <row r="3" spans="1:2" ht="29" x14ac:dyDescent="0.35">
      <c r="A3" s="5" t="s">
        <v>93</v>
      </c>
      <c r="B3" s="9" t="s">
        <v>100</v>
      </c>
    </row>
    <row r="4" spans="1:2" x14ac:dyDescent="0.35">
      <c r="A4" s="5" t="s">
        <v>94</v>
      </c>
      <c r="B4" s="9" t="s">
        <v>101</v>
      </c>
    </row>
    <row r="5" spans="1:2" ht="43.5" x14ac:dyDescent="0.35">
      <c r="A5" s="5" t="s">
        <v>95</v>
      </c>
      <c r="B5" s="9" t="s">
        <v>96</v>
      </c>
    </row>
  </sheetData>
  <hyperlinks>
    <hyperlink ref="B5" r:id="rId1" xr:uid="{589643C7-F3F1-4847-8EF2-74F0CCC67C87}"/>
    <hyperlink ref="B2" r:id="rId2" display="https://chevron.sharepoint.com/sites/CSTTradingCOE/Shared%20Documents/Forms/AllItems.aspx?id=%2Fsites%2FCSTTradingCOE%2FShared%20Documents%2F01%20Change%20Management%2Fz_Archive_2021_Accenture%2FMSP%20Transition%20Change%20Management%2FAsk%20Me%20Anything%20Sessions%2FMarket%20Data%20-%20Access%20and%20Support.pdf&amp;parent=%2Fsites%2FCSTTradingCOE%2FShared%20Documents%2F01%20Change%20Management%2Fz_Archive_2021_Accenture%2FMSP%20Transition%20Change%20Management%2FAsk%20Me%20Anything%20Sessions " xr:uid="{4C27373C-9583-49A0-9F04-7F4D91BB3D8B}"/>
    <hyperlink ref="B3" r:id="rId3" xr:uid="{2EBB15D3-6BE2-4146-9446-663516B8FAB3}"/>
    <hyperlink ref="B4" r:id="rId4" xr:uid="{64D296ED-B07F-45CC-A4C8-B0A52848494F}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2"/>
  <sheetViews>
    <sheetView workbookViewId="0"/>
  </sheetViews>
  <sheetFormatPr defaultRowHeight="14.5" x14ac:dyDescent="0.35"/>
  <cols>
    <col min="1" max="1" width="120" customWidth="1"/>
  </cols>
  <sheetData>
    <row r="1" spans="1:1" x14ac:dyDescent="0.35">
      <c r="A1" s="8" t="s">
        <v>97</v>
      </c>
    </row>
    <row r="2" spans="1:1" x14ac:dyDescent="0.35">
      <c r="A2" t="s">
        <v>98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6e4db608-ddec-4a44-8ad7-7d5a79b7448e}" enabled="1" method="Standard" siteId="{fd799da1-bfc1-4234-a91c-72b3a1cb9e2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0_Today_Snapshot</vt:lpstr>
      <vt:lpstr>1_Crude</vt:lpstr>
      <vt:lpstr>2_Products_APAC</vt:lpstr>
      <vt:lpstr>3_LNG_Benchmarks</vt:lpstr>
      <vt:lpstr>4_Freight_Ops</vt:lpstr>
      <vt:lpstr>5_Risk_System</vt:lpstr>
      <vt:lpstr>6_Events_Flow</vt:lpstr>
      <vt:lpstr>7_Quick_Links</vt:lpstr>
      <vt:lpstr>8_Notes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Eng, Derek</cp:lastModifiedBy>
  <dcterms:created xsi:type="dcterms:W3CDTF">2026-02-02T00:45:47Z</dcterms:created>
  <dcterms:modified xsi:type="dcterms:W3CDTF">2026-02-02T00:52:13Z</dcterms:modified>
</cp:coreProperties>
</file>