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hevron-my.sharepoint.com/personal/derek_eng_chevron_com/Documents/My Documents/2026 Jobs/CA/information/"/>
    </mc:Choice>
  </mc:AlternateContent>
  <xr:revisionPtr revIDLastSave="2" documentId="8_{0CB78A7F-D4DF-46BC-AF4D-037CF454C999}" xr6:coauthVersionLast="47" xr6:coauthVersionMax="47" xr10:uidLastSave="{516F057C-0ED7-4C3B-8CB5-4396FD5388CC}"/>
  <bookViews>
    <workbookView xWindow="-120" yWindow="-120" windowWidth="29040" windowHeight="16440" activeTab="2" xr2:uid="{00000000-000D-0000-FFFF-FFFF00000000}"/>
  </bookViews>
  <sheets>
    <sheet name="ReadMe" sheetId="1" r:id="rId1"/>
    <sheet name="Constants" sheetId="2" r:id="rId2"/>
    <sheet name="Inputs" sheetId="3" r:id="rId3"/>
    <sheet name="Calcs" sheetId="4" r:id="rId4"/>
    <sheet name="BasisMatrix" sheetId="5" r:id="rId5"/>
    <sheet name="DecisionTre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  <c r="B13" i="4"/>
  <c r="B12" i="4"/>
  <c r="B11" i="4"/>
  <c r="C4" i="5" s="1"/>
  <c r="B5" i="4"/>
  <c r="B4" i="4"/>
  <c r="B3" i="4"/>
  <c r="B8" i="4" s="1"/>
  <c r="B2" i="4"/>
  <c r="B7" i="4" l="1"/>
  <c r="B10" i="4" l="1"/>
  <c r="C3" i="5" s="1"/>
  <c r="B9" i="4"/>
  <c r="C2" i="5" l="1"/>
  <c r="B14" i="4"/>
</calcChain>
</file>

<file path=xl/sharedStrings.xml><?xml version="1.0" encoding="utf-8"?>
<sst xmlns="http://schemas.openxmlformats.org/spreadsheetml/2006/main" count="87" uniqueCount="80">
  <si>
    <t>NGL Basis &amp; Arbitrage Tool (MB – Conway – FEI)</t>
  </si>
  <si>
    <t>Purpose</t>
  </si>
  <si>
    <t>This workbook normalizes benchmarks, computes key bases and an Eastern arbitrage test, and provides go/no-go action flags for ship/store decisions.</t>
  </si>
  <si>
    <t>How to use</t>
  </si>
  <si>
    <t>1) Go to the 'Inputs' sheet and enter/refresh the latest MB (¢/gal), Conway (¢/gal), FEI ($/t), ME CP ($/t), and logistics (freight/fees).</t>
  </si>
  <si>
    <t>2) Choose Product (Propane/Butane) – conversion factors change automatically.</t>
  </si>
  <si>
    <t>3) Review results in 'Calcs' and quick matrix in 'BasisMatrix'.</t>
  </si>
  <si>
    <t>4) See 'DecisionTree' for a text flow you can adopt in morning calls.</t>
  </si>
  <si>
    <t>Notes</t>
  </si>
  <si>
    <t>• Units: MB/Conway are provided in ¢/gal and converted to $/t; FEI/ME are already $/t.</t>
  </si>
  <si>
    <t>• Conversion factors: Propane 521 gal/t, Butane 453 gal/t (editable in 'Constants').</t>
  </si>
  <si>
    <t>• Flags: 'SHIP' if Eastern Arb &gt; 0 after freight/canal/terminal; 'STORE' if carry &gt; storage+financing.</t>
  </si>
  <si>
    <t>Name</t>
  </si>
  <si>
    <t>Value</t>
  </si>
  <si>
    <t>Comment</t>
  </si>
  <si>
    <t>CENTS_TO_DOLLARS</t>
  </si>
  <si>
    <t>Unit conversion</t>
  </si>
  <si>
    <t>GAL_PER_TON_PROPANE</t>
  </si>
  <si>
    <t>Propane conversion (gal/t)</t>
  </si>
  <si>
    <t>GAL_PER_TON_BUTANE</t>
  </si>
  <si>
    <t>Butane conversion (gal/t)</t>
  </si>
  <si>
    <t>CurveDate</t>
  </si>
  <si>
    <t>Product</t>
  </si>
  <si>
    <t>MB_cpg</t>
  </si>
  <si>
    <t>Conway_cpg</t>
  </si>
  <si>
    <t>FEI_USD_t</t>
  </si>
  <si>
    <t>ME_CP_USD_t</t>
  </si>
  <si>
    <t>VLGC_Freight_USD_t</t>
  </si>
  <si>
    <t>Panama_USD_t</t>
  </si>
  <si>
    <t>Terminal_USD_t</t>
  </si>
  <si>
    <t>Storage_Cost_USD_t</t>
  </si>
  <si>
    <t>Financing_Cost_USD_t</t>
  </si>
  <si>
    <t>Forward_Carry_USD_t</t>
  </si>
  <si>
    <t>2026-02-05</t>
  </si>
  <si>
    <t>Propane</t>
  </si>
  <si>
    <t>Field</t>
  </si>
  <si>
    <t>Formula / Description</t>
  </si>
  <si>
    <t>Selected product (Propane/Butane)</t>
  </si>
  <si>
    <t>Constant: cents → dollars</t>
  </si>
  <si>
    <t>Conversion factor for propane</t>
  </si>
  <si>
    <t>Conversion factor for butane</t>
  </si>
  <si>
    <t>Gal_per_Ton</t>
  </si>
  <si>
    <t>Auto-pick conversion by Product</t>
  </si>
  <si>
    <t>MB_USD_t</t>
  </si>
  <si>
    <t>MB (¢/gal) → $/t: MB_cpg * 0.01 * gal/t</t>
  </si>
  <si>
    <t>Conway_USD_t</t>
  </si>
  <si>
    <t>Conway (¢/gal) → $/t: Conway_cpg * 0.01 * gal/t</t>
  </si>
  <si>
    <t>ARB_East_USD_t</t>
  </si>
  <si>
    <t>FEI − MB − Freight − Panama − Terminal</t>
  </si>
  <si>
    <t>Basis_MB_Conway_USD_t</t>
  </si>
  <si>
    <t>MB($/t) − Conway($/t)</t>
  </si>
  <si>
    <t>Basis_FEI_CP_USD_t</t>
  </si>
  <si>
    <t>FEI($/t) − ME_CP($/t)</t>
  </si>
  <si>
    <t>Storage_Total_USD_t</t>
  </si>
  <si>
    <t>Storage + financing</t>
  </si>
  <si>
    <t>Month-ahead spread or carry value ($/t)</t>
  </si>
  <si>
    <t>Ship_to_Asia_Flag</t>
  </si>
  <si>
    <t>Eastern arb go/no-go</t>
  </si>
  <si>
    <t>Store_or_Sell</t>
  </si>
  <si>
    <t>Carry vs storage+financing</t>
  </si>
  <si>
    <t>Pair</t>
  </si>
  <si>
    <t>Definition</t>
  </si>
  <si>
    <t>Live Value ($/t)</t>
  </si>
  <si>
    <t>Commentary</t>
  </si>
  <si>
    <t>MB vs FEI</t>
  </si>
  <si>
    <t>FEI − MB (net of logistics)</t>
  </si>
  <si>
    <t>Positive ⇒ ship USGC→Asia if capacity allows</t>
  </si>
  <si>
    <t>MB vs Conway</t>
  </si>
  <si>
    <t>Positive &amp; rising ⇒ MB rich vs Midwest</t>
  </si>
  <si>
    <t>FEI vs ME CP</t>
  </si>
  <si>
    <t>FEI − CP</t>
  </si>
  <si>
    <t>Positive &amp; rising ⇒ spot tighter than ME term</t>
  </si>
  <si>
    <t>DECISION TREE (Ship / Store / Crack / Blend)</t>
  </si>
  <si>
    <t>1) Normalize prices → MB/Conway (¢/gal) to $/t using product factor; FEI/CP already $/t.</t>
  </si>
  <si>
    <t>2) Eastern Arb: ARB = FEI − MB − Freight − Panama − Terminal → If &gt;0 and logistics available ⇒ SHIP; else continue.</t>
  </si>
  <si>
    <t>3) U.S. Domestic Basis: If winter forecast and Conway tightens ⇒ consider length Conway/short MB; else favor MB if export pull strong.</t>
  </si>
  <si>
    <t>4) Time Spreads: If contango and carry &gt; storage+financing ⇒ STORE; if backwardation ⇒ SELL prompt.</t>
  </si>
  <si>
    <t>5) Feedstocks: ETHANE vs Naphtha margins; LPG seasonality (heating &amp; gasoline blending) ⇒ adjust propane/butane balance.</t>
  </si>
  <si>
    <t>6) ME Linkage: If FEI &gt;&gt; CP and routes open ⇒ Asia pulls more; manage CP exposure with FEI swaps.</t>
  </si>
  <si>
    <t>7) Execute + Hedge: Pair physical with FEI/MB/Conway paper; consider VLGC FFAs for freight exposure.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</si>
</sst>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 x14ac:dyDescent="0.25"/>
  <cols>
    <col min="1" max="1" width="152.7109375" customWidth="1"/>
  </cols>
  <sheetData>
    <row r="1" spans="1:1" ht="18.7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2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s="2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1" max="1" width="28" customWidth="1"/>
    <col min="2" max="2" width="16" customWidth="1"/>
    <col min="3" max="3" width="50" customWidth="1"/>
  </cols>
  <sheetData>
    <row r="1" spans="1:3" x14ac:dyDescent="0.25">
      <c r="A1" s="2" t="s">
        <v>12</v>
      </c>
      <c r="B1" s="2" t="s">
        <v>13</v>
      </c>
      <c r="C1" s="2" t="s">
        <v>14</v>
      </c>
    </row>
    <row r="2" spans="1:3" x14ac:dyDescent="0.25">
      <c r="A2" t="s">
        <v>15</v>
      </c>
      <c r="B2">
        <v>0.01</v>
      </c>
      <c r="C2" t="s">
        <v>16</v>
      </c>
    </row>
    <row r="3" spans="1:3" x14ac:dyDescent="0.25">
      <c r="A3" t="s">
        <v>17</v>
      </c>
      <c r="B3">
        <v>521</v>
      </c>
      <c r="C3" t="s">
        <v>18</v>
      </c>
    </row>
    <row r="4" spans="1:3" x14ac:dyDescent="0.25">
      <c r="A4" t="s">
        <v>19</v>
      </c>
      <c r="B4">
        <v>453</v>
      </c>
      <c r="C4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tabSelected="1" workbookViewId="0">
      <selection activeCell="J20" sqref="J20"/>
    </sheetView>
  </sheetViews>
  <sheetFormatPr defaultRowHeight="15" x14ac:dyDescent="0.25"/>
  <cols>
    <col min="1" max="1" width="10.42578125" bestFit="1" customWidth="1"/>
    <col min="2" max="2" width="8.42578125" bestFit="1" customWidth="1"/>
    <col min="3" max="3" width="8" bestFit="1" customWidth="1"/>
    <col min="4" max="4" width="12" customWidth="1"/>
    <col min="5" max="5" width="10" bestFit="1" customWidth="1"/>
    <col min="6" max="6" width="13.7109375" bestFit="1" customWidth="1"/>
    <col min="7" max="7" width="19.7109375" bestFit="1" customWidth="1"/>
    <col min="8" max="8" width="14.5703125" bestFit="1" customWidth="1"/>
    <col min="9" max="9" width="15.42578125" bestFit="1" customWidth="1"/>
    <col min="10" max="10" width="19.28515625" bestFit="1" customWidth="1"/>
    <col min="11" max="11" width="21" bestFit="1" customWidth="1"/>
    <col min="12" max="12" width="20.5703125" bestFit="1" customWidth="1"/>
  </cols>
  <sheetData>
    <row r="1" spans="1:12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</row>
    <row r="2" spans="1:12" x14ac:dyDescent="0.25">
      <c r="A2" t="s">
        <v>33</v>
      </c>
      <c r="B2" t="s">
        <v>34</v>
      </c>
      <c r="C2" s="3">
        <v>75</v>
      </c>
      <c r="D2" s="3">
        <v>73</v>
      </c>
      <c r="E2" s="3">
        <v>530</v>
      </c>
      <c r="F2" s="3">
        <v>545</v>
      </c>
      <c r="G2" s="3">
        <v>110</v>
      </c>
      <c r="H2" s="3">
        <v>15</v>
      </c>
      <c r="I2" s="3">
        <v>6</v>
      </c>
      <c r="J2" s="3">
        <v>5</v>
      </c>
      <c r="K2" s="3">
        <v>3</v>
      </c>
      <c r="L2" s="3">
        <v>9</v>
      </c>
    </row>
  </sheetData>
  <dataValidations count="1">
    <dataValidation type="list" sqref="B2" xr:uid="{00000000-0002-0000-0200-000000000000}">
      <formula1>"Propane,Butane"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defaultRowHeight="15" x14ac:dyDescent="0.25"/>
  <cols>
    <col min="1" max="1" width="26" customWidth="1"/>
    <col min="2" max="2" width="20" customWidth="1"/>
    <col min="3" max="3" width="60" customWidth="1"/>
  </cols>
  <sheetData>
    <row r="1" spans="1:3" x14ac:dyDescent="0.25">
      <c r="A1" s="2" t="s">
        <v>35</v>
      </c>
      <c r="B1" s="2" t="s">
        <v>13</v>
      </c>
      <c r="C1" s="2" t="s">
        <v>36</v>
      </c>
    </row>
    <row r="2" spans="1:3" x14ac:dyDescent="0.25">
      <c r="A2" t="s">
        <v>22</v>
      </c>
      <c r="B2" s="3" t="str">
        <f>Inputs!B2</f>
        <v>Propane</v>
      </c>
      <c r="C2" t="s">
        <v>37</v>
      </c>
    </row>
    <row r="3" spans="1:3" x14ac:dyDescent="0.25">
      <c r="A3" t="s">
        <v>15</v>
      </c>
      <c r="B3" s="3">
        <f>INDEX(Constants!$B:$B, MATCH(A3, Constants!$A:$A, 0))</f>
        <v>0.01</v>
      </c>
      <c r="C3" t="s">
        <v>38</v>
      </c>
    </row>
    <row r="4" spans="1:3" x14ac:dyDescent="0.25">
      <c r="A4" t="s">
        <v>17</v>
      </c>
      <c r="B4" s="3">
        <f>INDEX(Constants!$B:$B, MATCH(A4, Constants!$A:$A, 0))</f>
        <v>521</v>
      </c>
      <c r="C4" t="s">
        <v>39</v>
      </c>
    </row>
    <row r="5" spans="1:3" x14ac:dyDescent="0.25">
      <c r="A5" t="s">
        <v>19</v>
      </c>
      <c r="B5" s="3">
        <f>INDEX(Constants!$B:$B, MATCH(A5, Constants!$A:$A, 0))</f>
        <v>453</v>
      </c>
      <c r="C5" t="s">
        <v>40</v>
      </c>
    </row>
    <row r="6" spans="1:3" x14ac:dyDescent="0.25">
      <c r="A6" t="s">
        <v>41</v>
      </c>
      <c r="B6" s="3"/>
      <c r="C6" t="s">
        <v>42</v>
      </c>
    </row>
    <row r="7" spans="1:3" x14ac:dyDescent="0.25">
      <c r="A7" t="s">
        <v>43</v>
      </c>
      <c r="B7" s="3">
        <f>Inputs!C2*B3*B6</f>
        <v>0</v>
      </c>
      <c r="C7" t="s">
        <v>44</v>
      </c>
    </row>
    <row r="8" spans="1:3" x14ac:dyDescent="0.25">
      <c r="A8" t="s">
        <v>45</v>
      </c>
      <c r="B8" s="3">
        <f>Inputs!D2*B3*B6</f>
        <v>0</v>
      </c>
      <c r="C8" t="s">
        <v>46</v>
      </c>
    </row>
    <row r="9" spans="1:3" x14ac:dyDescent="0.25">
      <c r="A9" t="s">
        <v>47</v>
      </c>
      <c r="B9" s="3">
        <f>Inputs!E2-B7-Inputs!G2-Inputs!H2-Inputs!I2</f>
        <v>399</v>
      </c>
      <c r="C9" t="s">
        <v>48</v>
      </c>
    </row>
    <row r="10" spans="1:3" x14ac:dyDescent="0.25">
      <c r="A10" t="s">
        <v>49</v>
      </c>
      <c r="B10" s="3">
        <f>B7-B8</f>
        <v>0</v>
      </c>
      <c r="C10" t="s">
        <v>50</v>
      </c>
    </row>
    <row r="11" spans="1:3" x14ac:dyDescent="0.25">
      <c r="A11" t="s">
        <v>51</v>
      </c>
      <c r="B11" s="3">
        <f>Inputs!E2-Inputs!F2</f>
        <v>-15</v>
      </c>
      <c r="C11" t="s">
        <v>52</v>
      </c>
    </row>
    <row r="12" spans="1:3" x14ac:dyDescent="0.25">
      <c r="A12" t="s">
        <v>53</v>
      </c>
      <c r="B12" s="3">
        <f>Inputs!J2+Inputs!K2</f>
        <v>8</v>
      </c>
      <c r="C12" t="s">
        <v>54</v>
      </c>
    </row>
    <row r="13" spans="1:3" x14ac:dyDescent="0.25">
      <c r="A13" t="s">
        <v>32</v>
      </c>
      <c r="B13" s="3">
        <f>Inputs!L2</f>
        <v>9</v>
      </c>
      <c r="C13" t="s">
        <v>55</v>
      </c>
    </row>
    <row r="14" spans="1:3" x14ac:dyDescent="0.25">
      <c r="A14" t="s">
        <v>56</v>
      </c>
      <c r="B14" s="3" t="str">
        <f>IF(B9&gt;0,"SHIP","NO SHIP")</f>
        <v>SHIP</v>
      </c>
      <c r="C14" t="s">
        <v>57</v>
      </c>
    </row>
    <row r="15" spans="1:3" x14ac:dyDescent="0.25">
      <c r="A15" t="s">
        <v>58</v>
      </c>
      <c r="B15" s="3" t="str">
        <f>IF(B13&gt;B12,"STORE","SELL")</f>
        <v>STORE</v>
      </c>
      <c r="C15" t="s">
        <v>59</v>
      </c>
    </row>
  </sheetData>
  <conditionalFormatting sqref="B14">
    <cfRule type="expression" dxfId="3" priority="1" stopIfTrue="1">
      <formula>B14="SHIP"</formula>
    </cfRule>
    <cfRule type="expression" dxfId="2" priority="2" stopIfTrue="1">
      <formula>B14="NO SHIP"</formula>
    </cfRule>
  </conditionalFormatting>
  <conditionalFormatting sqref="B15">
    <cfRule type="expression" dxfId="1" priority="3" stopIfTrue="1">
      <formula>B15="STORE"</formula>
    </cfRule>
    <cfRule type="expression" dxfId="0" priority="4" stopIfTrue="1">
      <formula>B15="SELL"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5" x14ac:dyDescent="0.25"/>
  <cols>
    <col min="1" max="1" width="24" customWidth="1"/>
    <col min="2" max="2" width="40" customWidth="1"/>
    <col min="3" max="3" width="20" customWidth="1"/>
    <col min="4" max="4" width="60" customWidth="1"/>
  </cols>
  <sheetData>
    <row r="1" spans="1:4" x14ac:dyDescent="0.25">
      <c r="A1" s="2" t="s">
        <v>60</v>
      </c>
      <c r="B1" s="2" t="s">
        <v>61</v>
      </c>
      <c r="C1" s="2" t="s">
        <v>62</v>
      </c>
      <c r="D1" s="2" t="s">
        <v>63</v>
      </c>
    </row>
    <row r="2" spans="1:4" x14ac:dyDescent="0.25">
      <c r="A2" t="s">
        <v>64</v>
      </c>
      <c r="B2" t="s">
        <v>65</v>
      </c>
      <c r="C2">
        <f>Calcs!B9</f>
        <v>399</v>
      </c>
      <c r="D2" t="s">
        <v>66</v>
      </c>
    </row>
    <row r="3" spans="1:4" x14ac:dyDescent="0.25">
      <c r="A3" t="s">
        <v>67</v>
      </c>
      <c r="B3" t="s">
        <v>50</v>
      </c>
      <c r="C3">
        <f>Calcs!B10</f>
        <v>0</v>
      </c>
      <c r="D3" t="s">
        <v>68</v>
      </c>
    </row>
    <row r="4" spans="1:4" x14ac:dyDescent="0.25">
      <c r="A4" t="s">
        <v>69</v>
      </c>
      <c r="B4" t="s">
        <v>70</v>
      </c>
      <c r="C4">
        <f>Calcs!B11</f>
        <v>-15</v>
      </c>
      <c r="D4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workbookViewId="0"/>
  </sheetViews>
  <sheetFormatPr defaultRowHeight="15" x14ac:dyDescent="0.25"/>
  <cols>
    <col min="1" max="1" width="120" customWidth="1"/>
  </cols>
  <sheetData>
    <row r="1" spans="1:1" ht="17.25" x14ac:dyDescent="0.3">
      <c r="A1" s="4" t="s">
        <v>72</v>
      </c>
    </row>
    <row r="2" spans="1:1" x14ac:dyDescent="0.25">
      <c r="A2" t="s">
        <v>73</v>
      </c>
    </row>
    <row r="3" spans="1:1" x14ac:dyDescent="0.25">
      <c r="A3" t="s">
        <v>74</v>
      </c>
    </row>
    <row r="4" spans="1:1" x14ac:dyDescent="0.25">
      <c r="A4" t="s">
        <v>75</v>
      </c>
    </row>
    <row r="5" spans="1:1" x14ac:dyDescent="0.25">
      <c r="A5" t="s">
        <v>76</v>
      </c>
    </row>
    <row r="6" spans="1:1" x14ac:dyDescent="0.25">
      <c r="A6" t="s">
        <v>77</v>
      </c>
    </row>
    <row r="7" spans="1:1" x14ac:dyDescent="0.25">
      <c r="A7" t="s">
        <v>78</v>
      </c>
    </row>
    <row r="8" spans="1:1" x14ac:dyDescent="0.25">
      <c r="A8" t="s">
        <v>79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Constants</vt:lpstr>
      <vt:lpstr>Inputs</vt:lpstr>
      <vt:lpstr>Calcs</vt:lpstr>
      <vt:lpstr>BasisMatrix</vt:lpstr>
      <vt:lpstr>DecisionTree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Eng, Derek</cp:lastModifiedBy>
  <dcterms:created xsi:type="dcterms:W3CDTF">2026-02-05T03:42:46Z</dcterms:created>
  <dcterms:modified xsi:type="dcterms:W3CDTF">2026-02-05T03:45:46Z</dcterms:modified>
</cp:coreProperties>
</file>